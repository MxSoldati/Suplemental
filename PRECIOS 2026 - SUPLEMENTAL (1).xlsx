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gustobertancourtsoldati/Library/Mobile Documents/com~apple~CloudDocs/SUPLEMENTAL/"/>
    </mc:Choice>
  </mc:AlternateContent>
  <xr:revisionPtr revIDLastSave="0" documentId="8_{73BE265A-F196-FE44-B761-79D38C3C07B2}" xr6:coauthVersionLast="47" xr6:coauthVersionMax="47" xr10:uidLastSave="{00000000-0000-0000-0000-000000000000}"/>
  <bookViews>
    <workbookView xWindow="0" yWindow="740" windowWidth="30240" windowHeight="18900" activeTab="1" xr2:uid="{53DBACCD-43C3-A64F-92F6-C9D234A7952B}"/>
  </bookViews>
  <sheets>
    <sheet name="Precios" sheetId="1" r:id="rId1"/>
    <sheet name="Descripción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<sst xmlns="http://schemas.openxmlformats.org/spreadsheetml/2006/main" count="158" uniqueCount="140">
  <si>
    <t>Productos</t>
  </si>
  <si>
    <t>Código</t>
  </si>
  <si>
    <t>Producto</t>
  </si>
  <si>
    <t>Precio</t>
  </si>
  <si>
    <t>A001</t>
  </si>
  <si>
    <t>A002</t>
  </si>
  <si>
    <t>A003</t>
  </si>
  <si>
    <t>A004</t>
  </si>
  <si>
    <t>-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</si>
  <si>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</si>
  <si>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</si>
  <si>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</si>
  <si>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</si>
  <si>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</si>
  <si>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</si>
  <si>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</si>
  <si>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</si>
  <si>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</si>
  <si>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</si>
  <si>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</si>
  <si>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</si>
  <si>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</si>
  <si>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</si>
  <si>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</si>
  <si>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</si>
  <si>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</si>
  <si>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</si>
  <si>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</si>
  <si>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</si>
  <si>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</si>
  <si>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</si>
  <si>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</si>
  <si>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</si>
  <si>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</si>
  <si>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</si>
  <si>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</si>
  <si>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</si>
  <si>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</si>
  <si>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</si>
  <si>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</si>
  <si>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</si>
  <si>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</si>
  <si>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</si>
  <si>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</si>
  <si>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</si>
  <si>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</si>
  <si>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DESCRIPCIÓN DE LOS PRODUCTOS</t>
  </si>
  <si>
    <t>Creatina 300 gramos</t>
  </si>
  <si>
    <t xml:space="preserve">Creatina 300 gramos - frutos rojos </t>
  </si>
  <si>
    <t>Creatina 150 gramos</t>
  </si>
  <si>
    <t>Creatina 500 gramos</t>
  </si>
  <si>
    <t>Creatina 1 kg</t>
  </si>
  <si>
    <t>Whey Protein 2 libras - vainilla</t>
  </si>
  <si>
    <t>Whey Protein 2 libras - chocolate</t>
  </si>
  <si>
    <t>Whey Protein 2 libras - cookies</t>
  </si>
  <si>
    <t>Whey Protein 2 libras - frutilla</t>
  </si>
  <si>
    <t>Whey Protein 2 libras - tarro - vainilla</t>
  </si>
  <si>
    <t>Whey Protein 2 libras - tarro - chocolate</t>
  </si>
  <si>
    <t>Whey Protein 3 kg - vainilla</t>
  </si>
  <si>
    <t>Whey Protein 3 kg - chocolate</t>
  </si>
  <si>
    <t>Whey Protein Collagen 2 libras - vainilla</t>
  </si>
  <si>
    <t>Whey Protein Collagen 2 libras - chocolate</t>
  </si>
  <si>
    <t>Mutant Mass 1,5 kg - vainilla</t>
  </si>
  <si>
    <t>Mutant Mass 1,5 kg - chocolate</t>
  </si>
  <si>
    <t>Magnesio 60 cápsulas</t>
  </si>
  <si>
    <t>Colágeno 210 gramos - limón</t>
  </si>
  <si>
    <t>Colágeno 210 gramos - frutos rojos</t>
  </si>
  <si>
    <t>V8 Pump - sandía</t>
  </si>
  <si>
    <t>V8 Pump - acai</t>
  </si>
  <si>
    <t>Omega 3 60 cápsulas</t>
  </si>
  <si>
    <t>ZMA 90m cápsulas</t>
  </si>
  <si>
    <t>Glutamina 150 gramos</t>
  </si>
  <si>
    <t>Glutamina 300 gramos</t>
  </si>
  <si>
    <t>Resveratrol 60 cápsulas</t>
  </si>
  <si>
    <t>BCAA 120 cápsulas</t>
  </si>
  <si>
    <t>Botella Premium</t>
  </si>
  <si>
    <t>Botella Básica</t>
  </si>
  <si>
    <t xml:space="preserve">Creatina 150 gramos </t>
  </si>
  <si>
    <t>Whey Protein 910 gramos - vainilla</t>
  </si>
  <si>
    <t>Whey Protein 910 gramos - chocolate</t>
  </si>
  <si>
    <t>Whey Protein 3 kg</t>
  </si>
  <si>
    <t>Testo 240 gramos - Uva</t>
  </si>
  <si>
    <t>Testo 240 gramos - ..</t>
  </si>
  <si>
    <t>EEAA - Aminoácidos esenciales - Uva</t>
  </si>
  <si>
    <t>EEAA - Aminoácidos esenciales - Melón</t>
  </si>
  <si>
    <t>Magnesio Citrato 175 gramos</t>
  </si>
  <si>
    <t>Nitrix Bomb 90 comprimidos</t>
  </si>
  <si>
    <t>Multivitaminico 60 comprimidos</t>
  </si>
  <si>
    <t>Creatina monohidratada para mejorar el rendimiento en entrenamientos de fuerza y alta intensidad. Ayuda a aumentar la potencia, el desempeño en series repetidas y la recuperación entre esfuerzos.</t>
  </si>
  <si>
    <t>Uso sugerido: 3–5 g diarios, todos los días.</t>
  </si>
  <si>
    <t>Creatina monohidratada con sabor, ideal para sumar rendimiento en fuerza y entrenamientos intensos. Favorece la potencia y la recuperación, con toma práctica en agua.</t>
  </si>
  <si>
    <t>Uso sugerido: 3–5 g diarios.</t>
  </si>
  <si>
    <t>Formato práctico para arrancar o llevar. Creatina monohidratada para apoyar fuerza, potencia y rendimiento en el gimnasio.</t>
  </si>
  <si>
    <t>Creatina monohidratada para un uso continuo y duradero. Aporta soporte para fuerza, potencia y mejor desempeño en ejercicios explosivos.</t>
  </si>
  <si>
    <t>Formato económico para uso sostenido. Creatina monohidratada ideal para ciclos largos, enfocada en fuerza, potencia y rendimiento.</t>
  </si>
  <si>
    <t>Proteína de suero (whey) para apoyar el desarrollo y mantenimiento de masa muscular. Ideal para completar tu consumo diario de proteína con rápida digestión.</t>
  </si>
  <si>
    <t>Uso sugerido: 1 porción post-entreno o entre comidas.</t>
  </si>
  <si>
    <t>La misma whey en presentación tarro, más cómoda para guardar y dosificar. Proteína de suero para masa muscular y recuperación.</t>
  </si>
  <si>
    <t>Uso sugerido: 1 porción al día según tu objetivo.</t>
  </si>
  <si>
    <t>Ídem anterior, tener las opciones de los sabores para tarro.</t>
  </si>
  <si>
    <t>íden anterior, tener las opciones de sabores dentro de la misma.</t>
  </si>
  <si>
    <t>Formato grande para quienes consumen whey todos los días. Proteína de suero para acompañar objetivos de ganancia muscular y rendimiento.</t>
  </si>
  <si>
    <t>Uso sugerido: 1–2 porciones por día según requerimiento.</t>
  </si>
  <si>
    <t>Fórmula que combina proteína de suero con colágeno para aportar proteína diaria y soporte nutricional para tejidos conectivos. Ideal si buscás músculo y bienestar general en una sola toma.</t>
  </si>
  <si>
    <t>Uso sugerido: 1 porción al día, post-entreno o entre comidas.</t>
  </si>
  <si>
    <t>Ganador de peso pensado para aumentar el aporte de calorías y macronutrientes cuando cuesta llegar con la comida. Ideal para volumen, personas con alto gasto calórico o que buscan subir de peso.</t>
  </si>
  <si>
    <t>Uso sugerido: 1–2 porciones al día según objetivo y tolerancia.</t>
  </si>
  <si>
    <t>Suplemento de magnesio para apoyar la función muscular y nerviosa. Útil en etapas de estrés, actividad física intensa o cuando la dieta queda corta.</t>
  </si>
  <si>
    <t>Uso sugerido: 1–2 cápsulas al día según indicación del envase.</t>
  </si>
  <si>
    <t>Ácidos grasos esenciales EPA/DHA para complementar la dieta. Aporta soporte nutricional para salud cardiovascular, cerebro y balance de lípidos.</t>
  </si>
  <si>
    <t>Colágeno en polvo para complementar la dieta con proteínas estructurales. Ideal para quienes buscan soporte nutricional para articulaciones, piel y tejidos.</t>
  </si>
  <si>
    <t>Uso sugerido: 1 porción al día, en agua o bebida.</t>
  </si>
  <si>
    <t>Pre-entreno enfocado en el “pump” y el rendimiento. Ideal para entrenar con mejor sensación de congestión, enfoque y energía durante la sesión.</t>
  </si>
  <si>
    <t>Uso sugerido: 20–30 min antes de entrenar (empezar con media porción para evaluar tolerancia).</t>
  </si>
  <si>
    <t>Uso sugerido: 1–2 cápsulas al día con comidas.</t>
  </si>
  <si>
    <t>Combinación de zinc, magnesio y vitamina B6. Muy usado para acompañar descanso, recuperación y soporte de micronutrientes en deportistas.</t>
  </si>
  <si>
    <t>Uso sugerido: tomar por la noche, según indicación del envase.</t>
  </si>
  <si>
    <t>Antioxidante de origen vegetal, ideal para quienes buscan soporte antioxidante y bienestar general. Complementa un estilo de vida saludable.</t>
  </si>
  <si>
    <t>Uso sugerido: 1 cápsula al día con comida.</t>
  </si>
  <si>
    <t>Aminoácido muy usado en etapas de entrenamiento intenso. Ideal para acompañar recuperación y soporte digestivo en quienes la incorporan a su rutina.</t>
  </si>
  <si>
    <t>Uso sugerido: 5 g al día, post-entreno o antes de dormir.</t>
  </si>
  <si>
    <t>Formato más rendidor para uso continuo. Glutamina para apoyar la recuperación y el bienestar digestivo, especialmente en períodos exigentes.</t>
  </si>
  <si>
    <t>Uso sugerido: 5 g diarios.</t>
  </si>
  <si>
    <t>Aminoácidos de cadena ramificada (BCAA) para complementar la ingesta proteica. Útiles antes, durante o después del entrenamiento, especialmente si entrenás en ayunas o con poca proteína previa.</t>
  </si>
  <si>
    <t>Uso sugerido: según indicación del envase, alrededor del entrenamiento.</t>
  </si>
  <si>
    <t>Botella deportiva resistente, ideal para entrenar y llevar al gimnasio. Diseño cómodo para agarre y uso diario.</t>
  </si>
  <si>
    <t>Botella práctica para hidratación diaria. Liviana, fácil de transportar y perfecta para entrenos o la oficina.</t>
  </si>
  <si>
    <t>Creatina monohidratada para mejorar fuerza y rendimiento en entrenamientos intensos. Ayuda a aumentar la potencia y la recuperación entre series.</t>
  </si>
  <si>
    <t>Proteína de suero para complementar tu consumo de proteína diario. Ideal para recuperación post-entreno y mantenimiento de masa muscular.</t>
  </si>
  <si>
    <t>Formato grande para quienes consumen whey todos los días. Ideal para sostener masa muscular y facilitar el aporte proteico diario.</t>
  </si>
  <si>
    <t>Uso sugerido: 1–2 porciones diarias.</t>
  </si>
  <si>
    <t>Fórmula orientada a rendimiento y energía para entrenamientos. Ideal para acompañar etapas de fuerza y rutina exigente.</t>
  </si>
  <si>
    <t>Uso sugerido: según indicación del envase, antes de entrenar.</t>
  </si>
  <si>
    <t>Aminoácidos esenciales (EAA) para apoyar recuperación y síntesis proteica, especialmente útil si entrenás en ayunas o con baja proteína previa.</t>
  </si>
  <si>
    <t>Uso sugerido: antes, durante o después del entrenamiento.</t>
  </si>
  <si>
    <t>Magnesio en forma citrato, pensado para apoyar función muscular y ayudar con calambres. También es conocido por favorecer el tránsito intestinal en algunas personas.</t>
  </si>
  <si>
    <t>Uso sugerido: según indicación del envase.</t>
  </si>
  <si>
    <t>Fórmula enfocada en pump y rendimiento (óxido nítrico). Ideal para entrenamientos de fuerza y congestión muscular.</t>
  </si>
  <si>
    <t>Complejo de vitaminas y minerales para complementar la dieta diaria. Útil en épocas de estrés, entrenamiento intenso o alimentación incompleta.</t>
  </si>
  <si>
    <t>Uso sugerido: 1 comprimido al día con comida (según envase).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</si>
</sst>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Georgia"/>
      <family val="1"/>
    </font>
    <font>
      <sz val="10"/>
      <color theme="1"/>
      <name val="Georgia"/>
      <family val="1"/>
    </font>
    <font>
      <b/>
      <sz val="22"/>
      <color theme="1"/>
      <name val="Georgia"/>
      <family val="1"/>
    </font>
    <font>
      <b/>
      <sz val="12"/>
      <color theme="1"/>
      <name val="Georgia"/>
      <family val="1"/>
    </font>
    <font>
      <b/>
      <u/>
      <sz val="10"/>
      <color theme="1"/>
      <name val="Georgia"/>
      <family val="1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7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5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9" xfId="1" applyNumberFormat="1" applyFont="1" applyBorder="1"/>
    <xf numFmtId="0" fontId="2" fillId="0" borderId="10" xfId="0" applyFont="1" applyBorder="1"/>
    <xf numFmtId="0" fontId="2" fillId="4" borderId="10" xfId="0" applyFont="1" applyFill="1" applyBorder="1"/>
    <xf numFmtId="164" fontId="2" fillId="4" borderId="11" xfId="1" applyNumberFormat="1" applyFont="1" applyFill="1" applyBorder="1"/>
    <xf numFmtId="0" fontId="6" fillId="0" borderId="0" xfId="0" applyFont="1"/>
    <xf numFmtId="0" fontId="3" fillId="0" borderId="0" xfId="0" applyFont="1" applyAlignment="1"/>
    <xf numFmtId="0" fontId="7" fillId="0" borderId="0" xfId="0" applyFont="1"/>
  </cellXfs>
  <cellStyles count="2">
    <cellStyle name="Millares" xfId="1" builtinId="3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152400</xdr:rowOff>
    </xdr:from>
    <xdr:to>
      <xdr:col>3</xdr:col>
      <xdr:colOff>0</xdr:colOff>
      <xdr:row>3</xdr:row>
      <xdr:rowOff>25400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9CAAE617-5945-534C-BEAF-AF912D4B6391}"/>
            </a:ext>
          </a:extLst>
        </xdr:cNvPr>
        <xdr:cNvSpPr/>
      </xdr:nvSpPr>
      <xdr:spPr>
        <a:xfrm>
          <a:off x="12700" y="152400"/>
          <a:ext cx="6680200" cy="4826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>
              <a:solidFill>
                <a:schemeClr val="tx1"/>
              </a:solidFill>
              <a:latin typeface="Georgia" panose="02040502050405020303" pitchFamily="18" charset="0"/>
            </a:rPr>
            <a:t>Precios de Venta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umnoumeduar-my.sharepoint.com/personal/a_betancourt_alumno_um_edu_ar/Documents/Productos%202026.xlsx" TargetMode="External"/><Relationship Id="rId1" Type="http://schemas.openxmlformats.org/officeDocument/2006/relationships/externalLinkPath" Target="https://alumnoumeduar-my.sharepoint.com/personal/a_betancourt_alumno_um_edu_ar/Documents/Producto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cios de venta"/>
      <sheetName val="Control de Inventario"/>
      <sheetName val="Ingresos y Gastos "/>
      <sheetName val="Star Nutrition "/>
      <sheetName val="Gentech"/>
      <sheetName val="Body Advance"/>
      <sheetName val="Venta"/>
    </sheetNames>
    <sheetDataSet>
      <sheetData sheetId="0" refreshError="1"/>
      <sheetData sheetId="1">
        <row r="8">
          <cell r="A8" t="str">
            <v>Código</v>
          </cell>
          <cell r="B8" t="str">
            <v>Producto</v>
          </cell>
          <cell r="C8" t="str">
            <v>Entradas</v>
          </cell>
          <cell r="D8" t="str">
            <v>Salidas</v>
          </cell>
          <cell r="E8" t="str">
            <v>Stock</v>
          </cell>
        </row>
        <row r="9">
          <cell r="A9" t="str">
            <v>A001</v>
          </cell>
          <cell r="B9" t="str">
            <v>Creatina 300 gramos</v>
          </cell>
          <cell r="C9">
            <v>28</v>
          </cell>
          <cell r="D9">
            <v>2</v>
          </cell>
          <cell r="E9">
            <v>26</v>
          </cell>
        </row>
        <row r="10">
          <cell r="A10" t="str">
            <v>A002</v>
          </cell>
          <cell r="B10" t="str">
            <v xml:space="preserve">Creatina 300 gramos - frutos rojos </v>
          </cell>
          <cell r="C10">
            <v>14</v>
          </cell>
          <cell r="D10">
            <v>1</v>
          </cell>
          <cell r="E10">
            <v>13</v>
          </cell>
        </row>
        <row r="11">
          <cell r="A11" t="str">
            <v>A003</v>
          </cell>
          <cell r="B11" t="str">
            <v>Creatina 150 gramos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A004</v>
          </cell>
          <cell r="B12" t="str">
            <v>Creatina 500 gramos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A005</v>
          </cell>
          <cell r="B13" t="str">
            <v>Creatina 1 kg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>A006</v>
          </cell>
          <cell r="B14" t="str">
            <v>Whey Protein 2 libras - vainilla</v>
          </cell>
          <cell r="C14">
            <v>10</v>
          </cell>
          <cell r="D14">
            <v>0</v>
          </cell>
          <cell r="E14">
            <v>10</v>
          </cell>
        </row>
        <row r="15">
          <cell r="A15" t="str">
            <v>A007</v>
          </cell>
          <cell r="B15" t="str">
            <v>Whey Protein 2 libras - chocolate</v>
          </cell>
          <cell r="C15">
            <v>10</v>
          </cell>
          <cell r="D15">
            <v>1</v>
          </cell>
          <cell r="E15">
            <v>9</v>
          </cell>
        </row>
        <row r="16">
          <cell r="A16" t="str">
            <v>A008</v>
          </cell>
          <cell r="B16" t="str">
            <v>Whey Protein 2 libras - cookies</v>
          </cell>
          <cell r="C16">
            <v>5</v>
          </cell>
          <cell r="D16">
            <v>1</v>
          </cell>
          <cell r="E16">
            <v>4</v>
          </cell>
        </row>
        <row r="17">
          <cell r="A17" t="str">
            <v>A009</v>
          </cell>
          <cell r="B17" t="str">
            <v>Whey Protein 2 libras - frutilla</v>
          </cell>
          <cell r="C17">
            <v>5</v>
          </cell>
          <cell r="D17">
            <v>0</v>
          </cell>
          <cell r="E17">
            <v>5</v>
          </cell>
        </row>
        <row r="18">
          <cell r="A18" t="str">
            <v>A010</v>
          </cell>
          <cell r="B18" t="str">
            <v>Whey Protein 2 libras - tarro - vainilla</v>
          </cell>
          <cell r="C18">
            <v>0</v>
          </cell>
          <cell r="D18">
            <v>0</v>
          </cell>
          <cell r="E18">
            <v>0</v>
          </cell>
        </row>
        <row r="19">
          <cell r="A19" t="str">
            <v>A011</v>
          </cell>
          <cell r="B19" t="str">
            <v>Whey Protein 2 libras - tarro - chocolate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A012</v>
          </cell>
          <cell r="B20" t="str">
            <v>Whey Protein 3 kg - vainilla</v>
          </cell>
          <cell r="C20">
            <v>0</v>
          </cell>
          <cell r="D20">
            <v>0</v>
          </cell>
          <cell r="E20">
            <v>0</v>
          </cell>
        </row>
        <row r="21">
          <cell r="A21" t="str">
            <v>A013</v>
          </cell>
          <cell r="B21" t="str">
            <v>Whey Protein 3 kg - chocolate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A014</v>
          </cell>
          <cell r="B22" t="str">
            <v>Whey Protein Collagen 2 libras - vainilla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A015</v>
          </cell>
          <cell r="B23" t="str">
            <v>Whey Protein Collagen 2 libras - chocolate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A016</v>
          </cell>
          <cell r="B24" t="str">
            <v>Mutant Mass 1,5 kg - vainilla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A017</v>
          </cell>
          <cell r="B25" t="str">
            <v>Mutant Mass 1,5 kg - chocolate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A018</v>
          </cell>
          <cell r="B26" t="str">
            <v>Magnesio 60 cápsulas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A019</v>
          </cell>
          <cell r="B27" t="str">
            <v>Colágeno 210 gramos - limón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A020</v>
          </cell>
          <cell r="B28" t="str">
            <v>Colágeno 210 gramos - frutos rojos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A021</v>
          </cell>
          <cell r="B29" t="str">
            <v>V8 Pump - sandía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A022</v>
          </cell>
          <cell r="B30" t="str">
            <v>V8 Pump - acai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A023</v>
          </cell>
          <cell r="B31" t="str">
            <v>Omega 3 60 cápsulas</v>
          </cell>
          <cell r="C31">
            <v>0</v>
          </cell>
          <cell r="D31">
            <v>1</v>
          </cell>
          <cell r="E31">
            <v>-1</v>
          </cell>
        </row>
        <row r="32">
          <cell r="A32" t="str">
            <v>A024</v>
          </cell>
          <cell r="B32" t="str">
            <v>ZMA 90m cápsulas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A025</v>
          </cell>
          <cell r="B33" t="str">
            <v>Glutamina 150 gramos</v>
          </cell>
          <cell r="C33">
            <v>0</v>
          </cell>
          <cell r="D33">
            <v>0</v>
          </cell>
          <cell r="E33">
            <v>0</v>
          </cell>
        </row>
        <row r="34">
          <cell r="A34" t="str">
            <v>A026</v>
          </cell>
          <cell r="B34" t="str">
            <v>Glutamina 300 gramos</v>
          </cell>
          <cell r="C34">
            <v>0</v>
          </cell>
          <cell r="D34">
            <v>0</v>
          </cell>
          <cell r="E34">
            <v>0</v>
          </cell>
        </row>
        <row r="35">
          <cell r="A35" t="str">
            <v>A027</v>
          </cell>
          <cell r="B35" t="str">
            <v>Resveratrol 60 cápsulas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A028</v>
          </cell>
          <cell r="B36" t="str">
            <v>BCAA 120 cápsulas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A029</v>
          </cell>
          <cell r="B37" t="str">
            <v>Botella Premium</v>
          </cell>
          <cell r="C37">
            <v>0</v>
          </cell>
          <cell r="D37">
            <v>0</v>
          </cell>
          <cell r="E37">
            <v>0</v>
          </cell>
        </row>
        <row r="38">
          <cell r="A38" t="str">
            <v>A030</v>
          </cell>
          <cell r="B38" t="str">
            <v>Botella Básica</v>
          </cell>
          <cell r="C38">
            <v>0</v>
          </cell>
          <cell r="D38">
            <v>0</v>
          </cell>
          <cell r="E38">
            <v>0</v>
          </cell>
        </row>
        <row r="39">
          <cell r="A39" t="str">
            <v>B001</v>
          </cell>
          <cell r="B39" t="str">
            <v xml:space="preserve">Creatina 150 gramos </v>
          </cell>
          <cell r="C39">
            <v>0</v>
          </cell>
          <cell r="D39">
            <v>0</v>
          </cell>
          <cell r="E39">
            <v>0</v>
          </cell>
        </row>
        <row r="40">
          <cell r="A40" t="str">
            <v>B002</v>
          </cell>
          <cell r="B40" t="str">
            <v>Whey Protein 910 gramos - vainilla</v>
          </cell>
          <cell r="C40">
            <v>8</v>
          </cell>
          <cell r="D40">
            <v>0</v>
          </cell>
          <cell r="E40">
            <v>8</v>
          </cell>
        </row>
        <row r="41">
          <cell r="A41" t="str">
            <v>B003</v>
          </cell>
          <cell r="B41" t="str">
            <v>Whey Protein 910 gramos - chocolate</v>
          </cell>
          <cell r="C41">
            <v>0</v>
          </cell>
          <cell r="D41">
            <v>0</v>
          </cell>
          <cell r="E41">
            <v>0</v>
          </cell>
        </row>
        <row r="42">
          <cell r="A42" t="str">
            <v>B004</v>
          </cell>
          <cell r="B42" t="str">
            <v>Whey Protein 3 kg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B005</v>
          </cell>
          <cell r="B43" t="str">
            <v>Testo 240 gramos - Uva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B006</v>
          </cell>
          <cell r="B44" t="str">
            <v>Testo 240 gramos - ..</v>
          </cell>
          <cell r="C44">
            <v>0</v>
          </cell>
          <cell r="D44">
            <v>0</v>
          </cell>
          <cell r="E44">
            <v>0</v>
          </cell>
        </row>
        <row r="45">
          <cell r="A45" t="str">
            <v>B007</v>
          </cell>
          <cell r="B45" t="str">
            <v>EEAA - Aminoácidos esenciales - Uva</v>
          </cell>
          <cell r="C45">
            <v>0</v>
          </cell>
          <cell r="D45">
            <v>0</v>
          </cell>
          <cell r="E45">
            <v>0</v>
          </cell>
        </row>
        <row r="46">
          <cell r="A46" t="str">
            <v>B008</v>
          </cell>
          <cell r="B46" t="str">
            <v>EEAA - Aminoácidos esenciales - Melón</v>
          </cell>
          <cell r="C46">
            <v>0</v>
          </cell>
          <cell r="D46">
            <v>0</v>
          </cell>
          <cell r="E46">
            <v>0</v>
          </cell>
        </row>
        <row r="47">
          <cell r="A47" t="str">
            <v>B009</v>
          </cell>
          <cell r="B47" t="str">
            <v>Magnesio Citrato 175 gramos</v>
          </cell>
          <cell r="C47">
            <v>0</v>
          </cell>
          <cell r="D47">
            <v>0</v>
          </cell>
          <cell r="E47">
            <v>0</v>
          </cell>
        </row>
        <row r="48">
          <cell r="A48" t="str">
            <v>B010</v>
          </cell>
          <cell r="B48" t="str">
            <v>Nitrix Bomb 90 comprimidos</v>
          </cell>
          <cell r="C48">
            <v>0</v>
          </cell>
          <cell r="D48">
            <v>0</v>
          </cell>
          <cell r="E48">
            <v>0</v>
          </cell>
        </row>
        <row r="49">
          <cell r="A49" t="str">
            <v>B011</v>
          </cell>
          <cell r="B49" t="str">
            <v>Multivitaminico 60 comprimidos</v>
          </cell>
          <cell r="C49">
            <v>0</v>
          </cell>
          <cell r="D49">
            <v>0</v>
          </cell>
          <cell r="E4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5456D-5081-624F-B91F-F12A1724C697}" name="Productos4" displayName="Productos4" ref="A8:C49" totalsRowShown="0" headerRowDxfId="7" dataDxfId="6" headerRowBorderDxfId="4" tableBorderDxfId="5" totalsRowBorderDxfId="3">
  <autoFilter ref="A8:C49" xr:uid="{3055456D-5081-624F-B91F-F12A1724C697}"/>
  <tableColumns count="3">
    <tableColumn id="1" xr3:uid="{B9309689-FA4C-7245-A773-E2D93C03F6E5}" name="Código" dataDxfId="2"/>
    <tableColumn id="2" xr3:uid="{C87F3BF3-C6E5-F94D-B777-3FC0E7D6DDBA}" name="Producto" dataDxfId="1">
      <calculatedColumnFormula>VLOOKUP(A9,'[1]Control de Inventario'!A8:E49,2,0)</calculatedColumnFormula>
    </tableColumn>
    <tableColumn id="3" xr3:uid="{C50A615C-33E0-2647-836B-3D97713CB054}" name="Precio" dataDxfId="0" dataCellStyle="Millares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5795-2807-B742-A2F6-AEBB6C0F1D22}">
  <dimension ref="A1:C49"/>
  <sheetViews>
    <sheetView showGridLines="0" topLeftCell="A21" workbookViewId="0">
      <selection activeCell="B37" sqref="B37:B49"/>
    </sheetView>
  </sheetViews>
  <sheetFormatPr baseColWidth="10" defaultColWidth="10.83203125" defaultRowHeight="16" x14ac:dyDescent="0.2"/>
  <cols>
    <col min="1" max="1" width="14.83203125" style="1" customWidth="1"/>
    <col min="2" max="2" width="54.5" style="1" customWidth="1"/>
    <col min="3" max="3" width="18.5" style="1" customWidth="1"/>
    <col min="4" max="16384" width="10.83203125" style="1"/>
  </cols>
  <sheetData>
    <row r="1" spans="1:3" x14ac:dyDescent="0.2">
      <c r="A1" s="3"/>
      <c r="B1" s="3"/>
      <c r="C1" s="3"/>
    </row>
    <row r="2" spans="1:3" x14ac:dyDescent="0.2">
      <c r="A2" s="3"/>
      <c r="B2" s="3"/>
      <c r="C2" s="3"/>
    </row>
    <row r="3" spans="1:3" x14ac:dyDescent="0.2">
      <c r="A3" s="3"/>
      <c r="B3" s="3"/>
      <c r="C3" s="3"/>
    </row>
    <row r="4" spans="1:3" x14ac:dyDescent="0.2">
      <c r="A4" s="3"/>
      <c r="B4" s="3"/>
      <c r="C4" s="3"/>
    </row>
    <row r="5" spans="1:3" x14ac:dyDescent="0.2">
      <c r="A5" s="4" t="s">
        <v>0</v>
      </c>
      <c r="B5" s="5"/>
      <c r="C5" s="5"/>
    </row>
    <row r="6" spans="1:3" x14ac:dyDescent="0.2">
      <c r="A6" s="6"/>
      <c r="B6" s="7"/>
      <c r="C6" s="7"/>
    </row>
    <row r="7" spans="1:3" x14ac:dyDescent="0.2">
      <c r="A7" s="8"/>
      <c r="B7" s="9"/>
      <c r="C7" s="9"/>
    </row>
    <row r="8" spans="1:3" x14ac:dyDescent="0.2">
      <c r="A8" s="10" t="s">
        <v>1</v>
      </c>
      <c r="B8" s="11" t="s">
        <v>2</v>
      </c>
      <c r="C8" s="11" t="s">
        <v>3</v>
      </c>
    </row>
    <row r="9" spans="1:3" x14ac:dyDescent="0.2">
      <c r="A9" s="12" t="s">
        <v>4</v>
      </c>
      <c r="B9" s="13" t="str">
        <f>VLOOKUP(A9,'[1]Control de Inventario'!A8:E49,2,0)</f>
        <v>Creatina 300 gramos</v>
      </c>
      <c r="C9" s="14">
        <v>27500</v>
      </c>
    </row>
    <row r="10" spans="1:3" x14ac:dyDescent="0.2">
      <c r="A10" s="12" t="s">
        <v>5</v>
      </c>
      <c r="B10" s="13" t="str">
        <f>VLOOKUP(A10,'[1]Control de Inventario'!A9:E50,2,0)</f>
        <v xml:space="preserve">Creatina 300 gramos - frutos rojos </v>
      </c>
      <c r="C10" s="14">
        <v>26500</v>
      </c>
    </row>
    <row r="11" spans="1:3" x14ac:dyDescent="0.2">
      <c r="A11" s="12" t="s">
        <v>6</v>
      </c>
      <c r="B11" s="13" t="str">
        <f>VLOOKUP(A11,'[1]Control de Inventario'!A10:E51,2,0)</f>
        <v>Creatina 150 gramos</v>
      </c>
      <c r="C11" s="14">
        <v>20000</v>
      </c>
    </row>
    <row r="12" spans="1:3" x14ac:dyDescent="0.2">
      <c r="A12" s="12" t="s">
        <v>7</v>
      </c>
      <c r="B12" s="13" t="str">
        <f>VLOOKUP(A12,'[1]Control de Inventario'!A11:E52,2,0)</f>
        <v>Creatina 500 gramos</v>
      </c>
      <c r="C12" s="14" t="s">
        <v>8</v>
      </c>
    </row>
    <row r="13" spans="1:3" x14ac:dyDescent="0.2">
      <c r="A13" s="12" t="s">
        <v>9</v>
      </c>
      <c r="B13" s="13" t="str">
        <f>VLOOKUP(A13,'[1]Control de Inventario'!A12:E53,2,0)</f>
        <v>Creatina 1 kg</v>
      </c>
      <c r="C13" s="14">
        <v>80000</v>
      </c>
    </row>
    <row r="14" spans="1:3" x14ac:dyDescent="0.2">
      <c r="A14" s="12" t="s">
        <v>10</v>
      </c>
      <c r="B14" s="13" t="str">
        <f>VLOOKUP(A14,'[1]Control de Inventario'!A13:E54,2,0)</f>
        <v>Whey Protein 2 libras - vainilla</v>
      </c>
      <c r="C14" s="14">
        <v>47000</v>
      </c>
    </row>
    <row r="15" spans="1:3" x14ac:dyDescent="0.2">
      <c r="A15" s="12" t="s">
        <v>11</v>
      </c>
      <c r="B15" s="13" t="str">
        <f>VLOOKUP(A15,'[1]Control de Inventario'!A14:E55,2,0)</f>
        <v>Whey Protein 2 libras - chocolate</v>
      </c>
      <c r="C15" s="14">
        <v>47000</v>
      </c>
    </row>
    <row r="16" spans="1:3" x14ac:dyDescent="0.2">
      <c r="A16" s="12" t="s">
        <v>12</v>
      </c>
      <c r="B16" s="13" t="str">
        <f>VLOOKUP(A16,'[1]Control de Inventario'!A15:E56,2,0)</f>
        <v>Whey Protein 2 libras - cookies</v>
      </c>
      <c r="C16" s="14">
        <v>47000</v>
      </c>
    </row>
    <row r="17" spans="1:3" x14ac:dyDescent="0.2">
      <c r="A17" s="12" t="s">
        <v>13</v>
      </c>
      <c r="B17" s="13" t="str">
        <f>VLOOKUP(A17,'[1]Control de Inventario'!A16:E57,2,0)</f>
        <v>Whey Protein 2 libras - frutilla</v>
      </c>
      <c r="C17" s="14">
        <v>47000</v>
      </c>
    </row>
    <row r="18" spans="1:3" x14ac:dyDescent="0.2">
      <c r="A18" s="12" t="s">
        <v>14</v>
      </c>
      <c r="B18" s="13" t="str">
        <f>VLOOKUP(A18,'[1]Control de Inventario'!A17:E58,2,0)</f>
        <v>Whey Protein 2 libras - tarro - vainilla</v>
      </c>
      <c r="C18" s="14">
        <v>52000</v>
      </c>
    </row>
    <row r="19" spans="1:3" x14ac:dyDescent="0.2">
      <c r="A19" s="12" t="s">
        <v>15</v>
      </c>
      <c r="B19" s="13" t="str">
        <f>VLOOKUP(A19,'[1]Control de Inventario'!A18:E59,2,0)</f>
        <v>Whey Protein 2 libras - tarro - chocolate</v>
      </c>
      <c r="C19" s="14">
        <v>52000</v>
      </c>
    </row>
    <row r="20" spans="1:3" x14ac:dyDescent="0.2">
      <c r="A20" s="12" t="s">
        <v>16</v>
      </c>
      <c r="B20" s="13" t="str">
        <f>VLOOKUP(A20,'[1]Control de Inventario'!A19:E60,2,0)</f>
        <v>Whey Protein 3 kg - vainilla</v>
      </c>
      <c r="C20" s="14">
        <v>142000</v>
      </c>
    </row>
    <row r="21" spans="1:3" x14ac:dyDescent="0.2">
      <c r="A21" s="12" t="s">
        <v>17</v>
      </c>
      <c r="B21" s="13" t="str">
        <f>VLOOKUP(A21,'[1]Control de Inventario'!A20:E61,2,0)</f>
        <v>Whey Protein 3 kg - chocolate</v>
      </c>
      <c r="C21" s="14">
        <v>142000</v>
      </c>
    </row>
    <row r="22" spans="1:3" x14ac:dyDescent="0.2">
      <c r="A22" s="12" t="s">
        <v>18</v>
      </c>
      <c r="B22" s="13" t="str">
        <f>VLOOKUP(A22,'[1]Control de Inventario'!A21:E62,2,0)</f>
        <v>Whey Protein Collagen 2 libras - vainilla</v>
      </c>
      <c r="C22" s="14">
        <v>45000</v>
      </c>
    </row>
    <row r="23" spans="1:3" x14ac:dyDescent="0.2">
      <c r="A23" s="12" t="s">
        <v>19</v>
      </c>
      <c r="B23" s="13" t="str">
        <f>VLOOKUP(A23,'[1]Control de Inventario'!A22:E63,2,0)</f>
        <v>Whey Protein Collagen 2 libras - chocolate</v>
      </c>
      <c r="C23" s="14">
        <v>45000</v>
      </c>
    </row>
    <row r="24" spans="1:3" x14ac:dyDescent="0.2">
      <c r="A24" s="12" t="s">
        <v>20</v>
      </c>
      <c r="B24" s="13" t="str">
        <f>VLOOKUP(A24,'[1]Control de Inventario'!A23:E64,2,0)</f>
        <v>Mutant Mass 1,5 kg - vainilla</v>
      </c>
      <c r="C24" s="14">
        <v>38500</v>
      </c>
    </row>
    <row r="25" spans="1:3" x14ac:dyDescent="0.2">
      <c r="A25" s="12" t="s">
        <v>21</v>
      </c>
      <c r="B25" s="13" t="str">
        <f>VLOOKUP(A25,'[1]Control de Inventario'!A24:E65,2,0)</f>
        <v>Mutant Mass 1,5 kg - chocolate</v>
      </c>
      <c r="C25" s="14">
        <v>38500</v>
      </c>
    </row>
    <row r="26" spans="1:3" x14ac:dyDescent="0.2">
      <c r="A26" s="12" t="s">
        <v>22</v>
      </c>
      <c r="B26" s="13" t="str">
        <f>VLOOKUP(A26,'[1]Control de Inventario'!A25:E66,2,0)</f>
        <v>Magnesio 60 cápsulas</v>
      </c>
      <c r="C26" s="14">
        <v>15500</v>
      </c>
    </row>
    <row r="27" spans="1:3" x14ac:dyDescent="0.2">
      <c r="A27" s="12" t="s">
        <v>23</v>
      </c>
      <c r="B27" s="13" t="str">
        <f>VLOOKUP(A27,'[1]Control de Inventario'!A26:E67,2,0)</f>
        <v>Colágeno 210 gramos - limón</v>
      </c>
      <c r="C27" s="14">
        <v>21500</v>
      </c>
    </row>
    <row r="28" spans="1:3" x14ac:dyDescent="0.2">
      <c r="A28" s="12" t="s">
        <v>24</v>
      </c>
      <c r="B28" s="13" t="str">
        <f>VLOOKUP(A28,'[1]Control de Inventario'!A27:E68,2,0)</f>
        <v>Colágeno 210 gramos - frutos rojos</v>
      </c>
      <c r="C28" s="14">
        <v>21500</v>
      </c>
    </row>
    <row r="29" spans="1:3" x14ac:dyDescent="0.2">
      <c r="A29" s="12" t="s">
        <v>25</v>
      </c>
      <c r="B29" s="13" t="str">
        <f>VLOOKUP(A29,'[1]Control de Inventario'!A28:E69,2,0)</f>
        <v>V8 Pump - sandía</v>
      </c>
      <c r="C29" s="14">
        <v>35000</v>
      </c>
    </row>
    <row r="30" spans="1:3" x14ac:dyDescent="0.2">
      <c r="A30" s="12" t="s">
        <v>26</v>
      </c>
      <c r="B30" s="13" t="str">
        <f>VLOOKUP(A30,'[1]Control de Inventario'!A29:E70,2,0)</f>
        <v>V8 Pump - acai</v>
      </c>
      <c r="C30" s="14">
        <v>35000</v>
      </c>
    </row>
    <row r="31" spans="1:3" x14ac:dyDescent="0.2">
      <c r="A31" s="12" t="s">
        <v>27</v>
      </c>
      <c r="B31" s="13" t="str">
        <f>VLOOKUP(A31,'[1]Control de Inventario'!A30:E71,2,0)</f>
        <v>Omega 3 60 cápsulas</v>
      </c>
      <c r="C31" s="14">
        <v>35900</v>
      </c>
    </row>
    <row r="32" spans="1:3" x14ac:dyDescent="0.2">
      <c r="A32" s="12" t="s">
        <v>28</v>
      </c>
      <c r="B32" s="13" t="str">
        <f>VLOOKUP(A32,'[1]Control de Inventario'!A31:E72,2,0)</f>
        <v>ZMA 90m cápsulas</v>
      </c>
      <c r="C32" s="14">
        <v>18300</v>
      </c>
    </row>
    <row r="33" spans="1:3" x14ac:dyDescent="0.2">
      <c r="A33" s="12" t="s">
        <v>29</v>
      </c>
      <c r="B33" s="13" t="str">
        <f>VLOOKUP(A33,'[1]Control de Inventario'!A32:E73,2,0)</f>
        <v>Glutamina 150 gramos</v>
      </c>
      <c r="C33" s="14" t="s">
        <v>8</v>
      </c>
    </row>
    <row r="34" spans="1:3" x14ac:dyDescent="0.2">
      <c r="A34" s="12" t="s">
        <v>30</v>
      </c>
      <c r="B34" s="13" t="str">
        <f>VLOOKUP(A34,'[1]Control de Inventario'!A33:E74,2,0)</f>
        <v>Glutamina 300 gramos</v>
      </c>
      <c r="C34" s="14">
        <v>32300</v>
      </c>
    </row>
    <row r="35" spans="1:3" x14ac:dyDescent="0.2">
      <c r="A35" s="12" t="s">
        <v>31</v>
      </c>
      <c r="B35" s="13" t="str">
        <f>VLOOKUP(A35,'[1]Control de Inventario'!A34:E75,2,0)</f>
        <v>Resveratrol 60 cápsulas</v>
      </c>
      <c r="C35" s="14">
        <v>23500</v>
      </c>
    </row>
    <row r="36" spans="1:3" x14ac:dyDescent="0.2">
      <c r="A36" s="12" t="s">
        <v>32</v>
      </c>
      <c r="B36" s="13" t="str">
        <f>VLOOKUP(A36,'[1]Control de Inventario'!A35:E76,2,0)</f>
        <v>BCAA 120 cápsulas</v>
      </c>
      <c r="C36" s="14">
        <v>19200</v>
      </c>
    </row>
    <row r="37" spans="1:3" x14ac:dyDescent="0.2">
      <c r="A37" s="12" t="s">
        <v>33</v>
      </c>
      <c r="B37" s="13" t="str">
        <f>VLOOKUP(A37,'[1]Control de Inventario'!A36:E77,2,0)</f>
        <v>Botella Premium</v>
      </c>
      <c r="C37" s="14">
        <v>16000</v>
      </c>
    </row>
    <row r="38" spans="1:3" x14ac:dyDescent="0.2">
      <c r="A38" s="12" t="s">
        <v>34</v>
      </c>
      <c r="B38" s="13" t="str">
        <f>VLOOKUP(A38,'[1]Control de Inventario'!A37:E78,2,0)</f>
        <v>Botella Básica</v>
      </c>
      <c r="C38" s="14">
        <v>5500</v>
      </c>
    </row>
    <row r="39" spans="1:3" x14ac:dyDescent="0.2">
      <c r="A39" s="12" t="s">
        <v>35</v>
      </c>
      <c r="B39" s="13" t="str">
        <f>VLOOKUP(A39,'[1]Control de Inventario'!A38:E79,2,0)</f>
        <v xml:space="preserve">Creatina 150 gramos </v>
      </c>
      <c r="C39" s="14">
        <v>12400</v>
      </c>
    </row>
    <row r="40" spans="1:3" x14ac:dyDescent="0.2">
      <c r="A40" s="12" t="s">
        <v>36</v>
      </c>
      <c r="B40" s="13" t="str">
        <f>VLOOKUP(A40,'[1]Control de Inventario'!A39:E80,2,0)</f>
        <v>Whey Protein 910 gramos - vainilla</v>
      </c>
      <c r="C40" s="14">
        <v>25000</v>
      </c>
    </row>
    <row r="41" spans="1:3" x14ac:dyDescent="0.2">
      <c r="A41" s="12" t="s">
        <v>37</v>
      </c>
      <c r="B41" s="13" t="str">
        <f>VLOOKUP(A41,'[1]Control de Inventario'!A40:E81,2,0)</f>
        <v>Whey Protein 910 gramos - chocolate</v>
      </c>
      <c r="C41" s="14">
        <v>25000</v>
      </c>
    </row>
    <row r="42" spans="1:3" x14ac:dyDescent="0.2">
      <c r="A42" s="12" t="s">
        <v>38</v>
      </c>
      <c r="B42" s="13" t="str">
        <f>VLOOKUP(A42,'[1]Control de Inventario'!A41:E82,2,0)</f>
        <v>Whey Protein 3 kg</v>
      </c>
      <c r="C42" s="14">
        <v>68500</v>
      </c>
    </row>
    <row r="43" spans="1:3" x14ac:dyDescent="0.2">
      <c r="A43" s="12" t="s">
        <v>39</v>
      </c>
      <c r="B43" s="13" t="str">
        <f>VLOOKUP(A43,'[1]Control de Inventario'!A42:E83,2,0)</f>
        <v>Testo 240 gramos - Uva</v>
      </c>
      <c r="C43" s="14">
        <v>20000</v>
      </c>
    </row>
    <row r="44" spans="1:3" x14ac:dyDescent="0.2">
      <c r="A44" s="12" t="s">
        <v>40</v>
      </c>
      <c r="B44" s="13" t="str">
        <f>VLOOKUP(A44,'[1]Control de Inventario'!A43:E84,2,0)</f>
        <v>Testo 240 gramos - ..</v>
      </c>
      <c r="C44" s="14" t="s">
        <v>8</v>
      </c>
    </row>
    <row r="45" spans="1:3" x14ac:dyDescent="0.2">
      <c r="A45" s="12" t="s">
        <v>41</v>
      </c>
      <c r="B45" s="13" t="str">
        <f>VLOOKUP(A45,'[1]Control de Inventario'!A44:E85,2,0)</f>
        <v>EEAA - Aminoácidos esenciales - Uva</v>
      </c>
      <c r="C45" s="14">
        <v>21000</v>
      </c>
    </row>
    <row r="46" spans="1:3" x14ac:dyDescent="0.2">
      <c r="A46" s="12" t="s">
        <v>42</v>
      </c>
      <c r="B46" s="13" t="str">
        <f>VLOOKUP(A46,'[1]Control de Inventario'!A45:E86,2,0)</f>
        <v>EEAA - Aminoácidos esenciales - Melón</v>
      </c>
      <c r="C46" s="14">
        <v>21000</v>
      </c>
    </row>
    <row r="47" spans="1:3" x14ac:dyDescent="0.2">
      <c r="A47" s="12" t="s">
        <v>43</v>
      </c>
      <c r="B47" s="13" t="str">
        <f>VLOOKUP(A47,'[1]Control de Inventario'!A46:E87,2,0)</f>
        <v>Magnesio Citrato 175 gramos</v>
      </c>
      <c r="C47" s="14">
        <v>13000</v>
      </c>
    </row>
    <row r="48" spans="1:3" x14ac:dyDescent="0.2">
      <c r="A48" s="15" t="s">
        <v>44</v>
      </c>
      <c r="B48" s="13" t="str">
        <f>VLOOKUP(A48,'[1]Control de Inventario'!A47:E88,2,0)</f>
        <v>Nitrix Bomb 90 comprimidos</v>
      </c>
      <c r="C48" s="14">
        <v>9500</v>
      </c>
    </row>
    <row r="49" spans="1:3" x14ac:dyDescent="0.2">
      <c r="A49" s="16" t="s">
        <v>45</v>
      </c>
      <c r="B49" s="13" t="str">
        <f>VLOOKUP(A49,'[1]Control de Inventario'!A48:E89,2,0)</f>
        <v>Multivitaminico 60 comprimidos</v>
      </c>
      <c r="C49" s="17">
        <v>9500</v>
      </c>
    </row>
  </sheetData>
  <mergeCells count="2">
    <mergeCell ref="A1:C4"/>
    <mergeCell ref="A5:C7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CF10-783D-C34E-83F7-F46B34BD57BA}">
  <dimension ref="B2:C125"/>
  <sheetViews>
    <sheetView showGridLines="0" tabSelected="1" zoomScale="99" workbookViewId="0">
      <selection activeCell="B100" sqref="B100"/>
    </sheetView>
  </sheetViews>
  <sheetFormatPr baseColWidth="10" defaultRowHeight="13" x14ac:dyDescent="0.15"/>
  <cols>
    <col min="1" max="1" width="3.33203125" style="2" customWidth="1"/>
    <col min="2" max="2" width="33.83203125" style="2" bestFit="1" customWidth="1"/>
    <col min="3" max="16384" width="10.83203125" style="2"/>
  </cols>
  <sheetData>
    <row r="2" spans="2:3" x14ac:dyDescent="0.15">
      <c r="B2" s="18" t="s">
        <v>46</v>
      </c>
    </row>
    <row r="4" spans="2:3" x14ac:dyDescent="0.15">
      <c r="B4" s="2" t="s">
        <v>47</v>
      </c>
      <c r="C4" s="19" t="s">
        <v>88</v>
      </c>
    </row>
    <row r="5" spans="2:3" x14ac:dyDescent="0.15">
      <c r="C5" s="2" t="s">
        <v>89</v>
      </c>
    </row>
    <row r="7" spans="2:3" x14ac:dyDescent="0.15">
      <c r="B7" s="2" t="s">
        <v>48</v>
      </c>
      <c r="C7" s="2" t="s">
        <v>90</v>
      </c>
    </row>
    <row r="8" spans="2:3" x14ac:dyDescent="0.15">
      <c r="C8" s="2" t="s">
        <v>91</v>
      </c>
    </row>
    <row r="10" spans="2:3" x14ac:dyDescent="0.15">
      <c r="B10" s="2" t="s">
        <v>49</v>
      </c>
      <c r="C10" s="2" t="s">
        <v>92</v>
      </c>
    </row>
    <row r="11" spans="2:3" x14ac:dyDescent="0.15">
      <c r="C11" s="2" t="s">
        <v>91</v>
      </c>
    </row>
    <row r="13" spans="2:3" x14ac:dyDescent="0.15">
      <c r="B13" s="2" t="s">
        <v>50</v>
      </c>
      <c r="C13" s="2" t="s">
        <v>93</v>
      </c>
    </row>
    <row r="14" spans="2:3" x14ac:dyDescent="0.15">
      <c r="C14" s="2" t="s">
        <v>91</v>
      </c>
    </row>
    <row r="16" spans="2:3" x14ac:dyDescent="0.15">
      <c r="B16" s="2" t="s">
        <v>51</v>
      </c>
      <c r="C16" s="2" t="s">
        <v>94</v>
      </c>
    </row>
    <row r="17" spans="2:3" x14ac:dyDescent="0.15">
      <c r="C17" s="2" t="s">
        <v>91</v>
      </c>
    </row>
    <row r="19" spans="2:3" x14ac:dyDescent="0.15">
      <c r="B19" s="2" t="s">
        <v>52</v>
      </c>
      <c r="C19" s="2" t="s">
        <v>95</v>
      </c>
    </row>
    <row r="20" spans="2:3" x14ac:dyDescent="0.15">
      <c r="C20" s="2" t="s">
        <v>96</v>
      </c>
    </row>
    <row r="22" spans="2:3" x14ac:dyDescent="0.15">
      <c r="B22" s="2" t="s">
        <v>53</v>
      </c>
      <c r="C22" s="2" t="s">
        <v>100</v>
      </c>
    </row>
    <row r="25" spans="2:3" x14ac:dyDescent="0.15">
      <c r="B25" s="2" t="s">
        <v>54</v>
      </c>
      <c r="C25" s="2" t="s">
        <v>100</v>
      </c>
    </row>
    <row r="28" spans="2:3" x14ac:dyDescent="0.15">
      <c r="B28" s="2" t="s">
        <v>55</v>
      </c>
      <c r="C28" s="2" t="s">
        <v>100</v>
      </c>
    </row>
    <row r="31" spans="2:3" ht="14" x14ac:dyDescent="0.2">
      <c r="B31" s="2" t="s">
        <v>56</v>
      </c>
      <c r="C31" s="20" t="s">
        <v>97</v>
      </c>
    </row>
    <row r="32" spans="2:3" x14ac:dyDescent="0.15">
      <c r="C32" s="2" t="s">
        <v>98</v>
      </c>
    </row>
    <row r="34" spans="2:3" x14ac:dyDescent="0.15">
      <c r="B34" s="2" t="s">
        <v>57</v>
      </c>
      <c r="C34" s="2" t="s">
        <v>99</v>
      </c>
    </row>
    <row r="37" spans="2:3" ht="14" x14ac:dyDescent="0.2">
      <c r="B37" s="2" t="s">
        <v>58</v>
      </c>
      <c r="C37" s="20" t="s">
        <v>101</v>
      </c>
    </row>
    <row r="38" spans="2:3" x14ac:dyDescent="0.15">
      <c r="C38" s="2" t="s">
        <v>102</v>
      </c>
    </row>
    <row r="40" spans="2:3" x14ac:dyDescent="0.15">
      <c r="B40" s="2" t="s">
        <v>59</v>
      </c>
      <c r="C40" s="2" t="s">
        <v>99</v>
      </c>
    </row>
    <row r="43" spans="2:3" x14ac:dyDescent="0.15">
      <c r="B43" s="2" t="s">
        <v>60</v>
      </c>
      <c r="C43" s="2" t="s">
        <v>103</v>
      </c>
    </row>
    <row r="44" spans="2:3" x14ac:dyDescent="0.15">
      <c r="C44" s="2" t="s">
        <v>104</v>
      </c>
    </row>
    <row r="46" spans="2:3" x14ac:dyDescent="0.15">
      <c r="B46" s="2" t="s">
        <v>61</v>
      </c>
      <c r="C46" s="2" t="s">
        <v>99</v>
      </c>
    </row>
    <row r="49" spans="2:3" x14ac:dyDescent="0.15">
      <c r="B49" s="2" t="s">
        <v>62</v>
      </c>
      <c r="C49" s="2" t="s">
        <v>105</v>
      </c>
    </row>
    <row r="50" spans="2:3" x14ac:dyDescent="0.15">
      <c r="C50" s="2" t="s">
        <v>106</v>
      </c>
    </row>
    <row r="52" spans="2:3" x14ac:dyDescent="0.15">
      <c r="B52" s="2" t="s">
        <v>63</v>
      </c>
      <c r="C52" s="2" t="s">
        <v>99</v>
      </c>
    </row>
    <row r="55" spans="2:3" x14ac:dyDescent="0.15">
      <c r="B55" s="2" t="s">
        <v>64</v>
      </c>
      <c r="C55" s="2" t="s">
        <v>107</v>
      </c>
    </row>
    <row r="56" spans="2:3" x14ac:dyDescent="0.15">
      <c r="C56" s="2" t="s">
        <v>108</v>
      </c>
    </row>
    <row r="58" spans="2:3" x14ac:dyDescent="0.15">
      <c r="B58" s="2" t="s">
        <v>65</v>
      </c>
      <c r="C58" s="2" t="s">
        <v>110</v>
      </c>
    </row>
    <row r="59" spans="2:3" x14ac:dyDescent="0.15">
      <c r="C59" s="2" t="s">
        <v>111</v>
      </c>
    </row>
    <row r="61" spans="2:3" x14ac:dyDescent="0.15">
      <c r="B61" s="2" t="s">
        <v>66</v>
      </c>
      <c r="C61" s="2" t="s">
        <v>99</v>
      </c>
    </row>
    <row r="64" spans="2:3" x14ac:dyDescent="0.15">
      <c r="B64" s="2" t="s">
        <v>67</v>
      </c>
      <c r="C64" s="2" t="s">
        <v>112</v>
      </c>
    </row>
    <row r="65" spans="2:3" x14ac:dyDescent="0.15">
      <c r="C65" s="2" t="s">
        <v>113</v>
      </c>
    </row>
    <row r="67" spans="2:3" x14ac:dyDescent="0.15">
      <c r="B67" s="2" t="s">
        <v>68</v>
      </c>
      <c r="C67" s="2" t="s">
        <v>99</v>
      </c>
    </row>
    <row r="70" spans="2:3" x14ac:dyDescent="0.15">
      <c r="B70" s="2" t="s">
        <v>69</v>
      </c>
      <c r="C70" s="2" t="s">
        <v>109</v>
      </c>
    </row>
    <row r="71" spans="2:3" ht="14" x14ac:dyDescent="0.2">
      <c r="C71" s="20" t="s">
        <v>114</v>
      </c>
    </row>
    <row r="73" spans="2:3" x14ac:dyDescent="0.15">
      <c r="B73" s="2" t="s">
        <v>70</v>
      </c>
      <c r="C73" s="2" t="s">
        <v>115</v>
      </c>
    </row>
    <row r="74" spans="2:3" x14ac:dyDescent="0.15">
      <c r="C74" s="2" t="s">
        <v>116</v>
      </c>
    </row>
    <row r="76" spans="2:3" x14ac:dyDescent="0.15">
      <c r="B76" s="2" t="s">
        <v>71</v>
      </c>
      <c r="C76" s="2" t="s">
        <v>119</v>
      </c>
    </row>
    <row r="77" spans="2:3" x14ac:dyDescent="0.15">
      <c r="C77" s="2" t="s">
        <v>120</v>
      </c>
    </row>
    <row r="79" spans="2:3" x14ac:dyDescent="0.15">
      <c r="B79" s="2" t="s">
        <v>72</v>
      </c>
      <c r="C79" s="2" t="s">
        <v>121</v>
      </c>
    </row>
    <row r="80" spans="2:3" x14ac:dyDescent="0.15">
      <c r="C80" s="2" t="s">
        <v>122</v>
      </c>
    </row>
    <row r="82" spans="2:3" ht="14" x14ac:dyDescent="0.2">
      <c r="B82" s="2" t="s">
        <v>73</v>
      </c>
      <c r="C82" s="20" t="s">
        <v>117</v>
      </c>
    </row>
    <row r="83" spans="2:3" x14ac:dyDescent="0.15">
      <c r="C83" s="2" t="s">
        <v>118</v>
      </c>
    </row>
    <row r="85" spans="2:3" ht="14" x14ac:dyDescent="0.2">
      <c r="B85" s="2" t="s">
        <v>74</v>
      </c>
      <c r="C85" s="20" t="s">
        <v>123</v>
      </c>
    </row>
    <row r="86" spans="2:3" x14ac:dyDescent="0.15">
      <c r="C86" s="2" t="s">
        <v>124</v>
      </c>
    </row>
    <row r="88" spans="2:3" x14ac:dyDescent="0.15">
      <c r="B88" s="2" t="s">
        <v>75</v>
      </c>
      <c r="C88" s="2" t="s">
        <v>125</v>
      </c>
    </row>
    <row r="91" spans="2:3" x14ac:dyDescent="0.15">
      <c r="B91" s="2" t="s">
        <v>76</v>
      </c>
      <c r="C91" s="2" t="s">
        <v>126</v>
      </c>
    </row>
    <row r="94" spans="2:3" x14ac:dyDescent="0.15">
      <c r="B94" s="2" t="s">
        <v>77</v>
      </c>
      <c r="C94" s="2" t="s">
        <v>127</v>
      </c>
    </row>
    <row r="95" spans="2:3" x14ac:dyDescent="0.15">
      <c r="C95" s="2" t="s">
        <v>91</v>
      </c>
    </row>
    <row r="97" spans="2:3" x14ac:dyDescent="0.15">
      <c r="B97" s="2" t="s">
        <v>78</v>
      </c>
      <c r="C97" s="2" t="s">
        <v>128</v>
      </c>
    </row>
    <row r="98" spans="2:3" x14ac:dyDescent="0.15">
      <c r="C98" s="2" t="s">
        <v>96</v>
      </c>
    </row>
    <row r="100" spans="2:3" x14ac:dyDescent="0.15">
      <c r="B100" s="2" t="s">
        <v>79</v>
      </c>
      <c r="C100" s="2" t="s">
        <v>99</v>
      </c>
    </row>
    <row r="103" spans="2:3" x14ac:dyDescent="0.15">
      <c r="B103" s="2" t="s">
        <v>80</v>
      </c>
      <c r="C103" s="2" t="s">
        <v>129</v>
      </c>
    </row>
    <row r="104" spans="2:3" x14ac:dyDescent="0.15">
      <c r="C104" s="2" t="s">
        <v>130</v>
      </c>
    </row>
    <row r="106" spans="2:3" x14ac:dyDescent="0.15">
      <c r="B106" s="2" t="s">
        <v>81</v>
      </c>
      <c r="C106" s="2" t="s">
        <v>131</v>
      </c>
    </row>
    <row r="107" spans="2:3" x14ac:dyDescent="0.15">
      <c r="C107" s="2" t="s">
        <v>132</v>
      </c>
    </row>
    <row r="109" spans="2:3" x14ac:dyDescent="0.15">
      <c r="B109" s="2" t="s">
        <v>82</v>
      </c>
      <c r="C109" s="2" t="s">
        <v>99</v>
      </c>
    </row>
    <row r="112" spans="2:3" x14ac:dyDescent="0.15">
      <c r="B112" s="2" t="s">
        <v>83</v>
      </c>
      <c r="C112" s="2" t="s">
        <v>133</v>
      </c>
    </row>
    <row r="113" spans="2:3" x14ac:dyDescent="0.15">
      <c r="C113" s="2" t="s">
        <v>134</v>
      </c>
    </row>
    <row r="115" spans="2:3" x14ac:dyDescent="0.15">
      <c r="B115" s="2" t="s">
        <v>84</v>
      </c>
      <c r="C115" s="2" t="s">
        <v>99</v>
      </c>
    </row>
    <row r="118" spans="2:3" x14ac:dyDescent="0.15">
      <c r="B118" s="2" t="s">
        <v>85</v>
      </c>
      <c r="C118" s="2" t="s">
        <v>135</v>
      </c>
    </row>
    <row r="119" spans="2:3" ht="14" x14ac:dyDescent="0.2">
      <c r="C119" s="20" t="s">
        <v>136</v>
      </c>
    </row>
    <row r="121" spans="2:3" x14ac:dyDescent="0.15">
      <c r="B121" s="2" t="s">
        <v>86</v>
      </c>
      <c r="C121" s="2" t="s">
        <v>137</v>
      </c>
    </row>
    <row r="122" spans="2:3" ht="14" x14ac:dyDescent="0.2">
      <c r="C122" s="20" t="s">
        <v>132</v>
      </c>
    </row>
    <row r="124" spans="2:3" x14ac:dyDescent="0.15">
      <c r="B124" s="2" t="s">
        <v>87</v>
      </c>
      <c r="C124" s="2" t="s">
        <v>138</v>
      </c>
    </row>
    <row r="125" spans="2:3" x14ac:dyDescent="0.15">
      <c r="C125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Betancourt</dc:creator>
  <cp:lastModifiedBy>Augusto Betancourt</cp:lastModifiedBy>
  <dcterms:created xsi:type="dcterms:W3CDTF">2026-03-06T20:27:31Z</dcterms:created>
  <dcterms:modified xsi:type="dcterms:W3CDTF">2026-03-06T20:57:50Z</dcterms:modified>
</cp:coreProperties>
</file>